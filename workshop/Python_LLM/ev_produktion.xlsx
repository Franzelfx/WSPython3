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hdaten" sheetId="1" state="visible" r:id="rId1"/>
    <sheet name="Übersicht" sheetId="2" state="visible" r:id="rId2"/>
  </sheets>
  <definedNames>
    <definedName name="_xlnm._FilterDatabase" localSheetId="0" hidden="1">'Rohdaten'!$A$1:$I$45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3" customWidth="1" min="2" max="2"/>
    <col width="15" customWidth="1" min="3" max="3"/>
    <col width="14" customWidth="1" min="4" max="4"/>
    <col width="14" customWidth="1" min="5" max="5"/>
    <col width="24" customWidth="1" min="6" max="6"/>
    <col width="21" customWidth="1" min="7" max="7"/>
    <col width="20" customWidth="1" min="8" max="8"/>
    <col width="13" customWidth="1" min="9" max="9"/>
  </cols>
  <sheetData>
    <row r="1">
      <c r="A1" s="1" t="inlineStr">
        <is>
          <t>Jahr</t>
        </is>
      </c>
      <c r="B1" s="1" t="inlineStr">
        <is>
          <t>Zulieferer</t>
        </is>
      </c>
      <c r="C1" s="1" t="inlineStr">
        <is>
          <t>Werk</t>
        </is>
      </c>
      <c r="D1" s="1" t="inlineStr">
        <is>
          <t>Land</t>
        </is>
      </c>
      <c r="E1" s="1" t="inlineStr">
        <is>
          <t>Region</t>
        </is>
      </c>
      <c r="F1" s="1" t="inlineStr">
        <is>
          <t>Produkt</t>
        </is>
      </c>
      <c r="G1" s="1" t="inlineStr">
        <is>
          <t>Produziert (Stück)</t>
        </is>
      </c>
      <c r="H1" s="1" t="inlineStr">
        <is>
          <t>Kapazität (Stück)</t>
        </is>
      </c>
      <c r="I1" s="1" t="inlineStr">
        <is>
          <t>Auslastung</t>
        </is>
      </c>
    </row>
    <row r="2">
      <c r="A2" t="n">
        <v>2022</v>
      </c>
      <c r="B2" t="inlineStr">
        <is>
          <t>Nordic Battery Systems GmbH</t>
        </is>
      </c>
      <c r="C2" t="inlineStr">
        <is>
          <t>Göteborg</t>
        </is>
      </c>
      <c r="D2" t="inlineStr">
        <is>
          <t>Schweden</t>
        </is>
      </c>
      <c r="E2" t="inlineStr">
        <is>
          <t>Europa</t>
        </is>
      </c>
      <c r="F2" t="inlineStr">
        <is>
          <t>Batteriezellen</t>
        </is>
      </c>
      <c r="G2" s="2" t="n">
        <v>1850000</v>
      </c>
      <c r="H2" s="2" t="n">
        <v>2200000</v>
      </c>
      <c r="I2" s="3">
        <f>G2/H2</f>
        <v/>
      </c>
    </row>
    <row r="3">
      <c r="A3" t="n">
        <v>2023</v>
      </c>
      <c r="B3" t="inlineStr">
        <is>
          <t>Nordic Battery Systems GmbH</t>
        </is>
      </c>
      <c r="C3" t="inlineStr">
        <is>
          <t>Göteborg</t>
        </is>
      </c>
      <c r="D3" t="inlineStr">
        <is>
          <t>Schweden</t>
        </is>
      </c>
      <c r="E3" t="inlineStr">
        <is>
          <t>Europa</t>
        </is>
      </c>
      <c r="F3" t="inlineStr">
        <is>
          <t>Batteriezellen</t>
        </is>
      </c>
      <c r="G3" s="2" t="n">
        <v>2640000</v>
      </c>
      <c r="H3" s="2" t="n">
        <v>3000000</v>
      </c>
      <c r="I3" s="3">
        <f>G3/H3</f>
        <v/>
      </c>
    </row>
    <row r="4">
      <c r="A4" t="n">
        <v>2024</v>
      </c>
      <c r="B4" t="inlineStr">
        <is>
          <t>Nordic Battery Systems GmbH</t>
        </is>
      </c>
      <c r="C4" t="inlineStr">
        <is>
          <t>Göteborg</t>
        </is>
      </c>
      <c r="D4" t="inlineStr">
        <is>
          <t>Schweden</t>
        </is>
      </c>
      <c r="E4" t="inlineStr">
        <is>
          <t>Europa</t>
        </is>
      </c>
      <c r="F4" t="inlineStr">
        <is>
          <t>Batteriezellen</t>
        </is>
      </c>
      <c r="G4" s="2" t="n">
        <v>3120000</v>
      </c>
      <c r="H4" s="2" t="n">
        <v>3500000</v>
      </c>
      <c r="I4" s="3">
        <f>G4/H4</f>
        <v/>
      </c>
    </row>
    <row r="5">
      <c r="A5" t="n">
        <v>2025</v>
      </c>
      <c r="B5" t="inlineStr">
        <is>
          <t>Nordic Battery Systems GmbH</t>
        </is>
      </c>
      <c r="C5" t="inlineStr">
        <is>
          <t>Göteborg</t>
        </is>
      </c>
      <c r="D5" t="inlineStr">
        <is>
          <t>Schweden</t>
        </is>
      </c>
      <c r="E5" t="inlineStr">
        <is>
          <t>Europa</t>
        </is>
      </c>
      <c r="F5" t="inlineStr">
        <is>
          <t>Batteriezellen</t>
        </is>
      </c>
      <c r="G5" s="2" t="n">
        <v>3480000</v>
      </c>
      <c r="H5" s="2" t="n">
        <v>3500000</v>
      </c>
      <c r="I5" s="3">
        <f>G5/H5</f>
        <v/>
      </c>
    </row>
    <row r="6">
      <c r="A6" t="n">
        <v>2022</v>
      </c>
      <c r="B6" t="inlineStr">
        <is>
          <t>Pacific Volt Components Ltd.</t>
        </is>
      </c>
      <c r="C6" t="inlineStr">
        <is>
          <t>Ningbo</t>
        </is>
      </c>
      <c r="D6" t="inlineStr">
        <is>
          <t>China</t>
        </is>
      </c>
      <c r="E6" t="inlineStr">
        <is>
          <t>Asien</t>
        </is>
      </c>
      <c r="F6" t="inlineStr">
        <is>
          <t>Batteriemodule</t>
        </is>
      </c>
      <c r="G6" s="2" t="n">
        <v>4200000</v>
      </c>
      <c r="H6" s="2" t="n">
        <v>5000000</v>
      </c>
      <c r="I6" s="3">
        <f>G6/H6</f>
        <v/>
      </c>
    </row>
    <row r="7">
      <c r="A7" t="n">
        <v>2023</v>
      </c>
      <c r="B7" t="inlineStr">
        <is>
          <t>Pacific Volt Components Ltd.</t>
        </is>
      </c>
      <c r="C7" t="inlineStr">
        <is>
          <t>Ningbo</t>
        </is>
      </c>
      <c r="D7" t="inlineStr">
        <is>
          <t>China</t>
        </is>
      </c>
      <c r="E7" t="inlineStr">
        <is>
          <t>Asien</t>
        </is>
      </c>
      <c r="F7" t="inlineStr">
        <is>
          <t>Batteriemodule</t>
        </is>
      </c>
      <c r="G7" s="2" t="n">
        <v>5870000</v>
      </c>
      <c r="H7" s="2" t="n">
        <v>6500000</v>
      </c>
      <c r="I7" s="3">
        <f>G7/H7</f>
        <v/>
      </c>
    </row>
    <row r="8">
      <c r="A8" t="n">
        <v>2024</v>
      </c>
      <c r="B8" t="inlineStr">
        <is>
          <t>Pacific Volt Components Ltd.</t>
        </is>
      </c>
      <c r="C8" t="inlineStr">
        <is>
          <t>Ningbo</t>
        </is>
      </c>
      <c r="D8" t="inlineStr">
        <is>
          <t>China</t>
        </is>
      </c>
      <c r="E8" t="inlineStr">
        <is>
          <t>Asien</t>
        </is>
      </c>
      <c r="F8" t="inlineStr">
        <is>
          <t>Batteriemodule</t>
        </is>
      </c>
      <c r="G8" s="2" t="n">
        <v>7310000</v>
      </c>
      <c r="H8" s="2" t="n">
        <v>8000000</v>
      </c>
      <c r="I8" s="3">
        <f>G8/H8</f>
        <v/>
      </c>
    </row>
    <row r="9">
      <c r="A9" t="n">
        <v>2025</v>
      </c>
      <c r="B9" t="inlineStr">
        <is>
          <t>Pacific Volt Components Ltd.</t>
        </is>
      </c>
      <c r="C9" t="inlineStr">
        <is>
          <t>Ningbo</t>
        </is>
      </c>
      <c r="D9" t="inlineStr">
        <is>
          <t>China</t>
        </is>
      </c>
      <c r="E9" t="inlineStr">
        <is>
          <t>Asien</t>
        </is>
      </c>
      <c r="F9" t="inlineStr">
        <is>
          <t>Batteriemodule</t>
        </is>
      </c>
      <c r="G9" s="2" t="n">
        <v>8040000</v>
      </c>
      <c r="H9" s="2" t="n">
        <v>8500000</v>
      </c>
      <c r="I9" s="3">
        <f>G9/H9</f>
        <v/>
      </c>
    </row>
    <row r="10">
      <c r="A10" t="n">
        <v>2022</v>
      </c>
      <c r="B10" t="inlineStr">
        <is>
          <t>Pacific Volt Components Ltd.</t>
        </is>
      </c>
      <c r="C10" t="inlineStr">
        <is>
          <t>Ulsan</t>
        </is>
      </c>
      <c r="D10" t="inlineStr">
        <is>
          <t>Südkorea</t>
        </is>
      </c>
      <c r="E10" t="inlineStr">
        <is>
          <t>Asien</t>
        </is>
      </c>
      <c r="F10" t="inlineStr">
        <is>
          <t>Batteriezellen</t>
        </is>
      </c>
      <c r="G10" s="2" t="n">
        <v>2300000</v>
      </c>
      <c r="H10" s="2" t="n">
        <v>2800000</v>
      </c>
      <c r="I10" s="3">
        <f>G10/H10</f>
        <v/>
      </c>
    </row>
    <row r="11">
      <c r="A11" t="n">
        <v>2023</v>
      </c>
      <c r="B11" t="inlineStr">
        <is>
          <t>Pacific Volt Components Ltd.</t>
        </is>
      </c>
      <c r="C11" t="inlineStr">
        <is>
          <t>Ulsan</t>
        </is>
      </c>
      <c r="D11" t="inlineStr">
        <is>
          <t>Südkorea</t>
        </is>
      </c>
      <c r="E11" t="inlineStr">
        <is>
          <t>Asien</t>
        </is>
      </c>
      <c r="F11" t="inlineStr">
        <is>
          <t>Batteriezellen</t>
        </is>
      </c>
      <c r="G11" s="2" t="n">
        <v>2910000</v>
      </c>
      <c r="H11" s="2" t="n">
        <v>3300000</v>
      </c>
      <c r="I11" s="3">
        <f>G11/H11</f>
        <v/>
      </c>
    </row>
    <row r="12">
      <c r="A12" t="n">
        <v>2024</v>
      </c>
      <c r="B12" t="inlineStr">
        <is>
          <t>Pacific Volt Components Ltd.</t>
        </is>
      </c>
      <c r="C12" t="inlineStr">
        <is>
          <t>Ulsan</t>
        </is>
      </c>
      <c r="D12" t="inlineStr">
        <is>
          <t>Südkorea</t>
        </is>
      </c>
      <c r="E12" t="inlineStr">
        <is>
          <t>Asien</t>
        </is>
      </c>
      <c r="F12" t="inlineStr">
        <is>
          <t>Batteriezellen</t>
        </is>
      </c>
      <c r="G12" s="2" t="n">
        <v>3450000</v>
      </c>
      <c r="H12" s="2" t="n">
        <v>3800000</v>
      </c>
      <c r="I12" s="3">
        <f>G12/H12</f>
        <v/>
      </c>
    </row>
    <row r="13">
      <c r="A13" t="n">
        <v>2025</v>
      </c>
      <c r="B13" t="inlineStr">
        <is>
          <t>Pacific Volt Components Ltd.</t>
        </is>
      </c>
      <c r="C13" t="inlineStr">
        <is>
          <t>Ulsan</t>
        </is>
      </c>
      <c r="D13" t="inlineStr">
        <is>
          <t>Südkorea</t>
        </is>
      </c>
      <c r="E13" t="inlineStr">
        <is>
          <t>Asien</t>
        </is>
      </c>
      <c r="F13" t="inlineStr">
        <is>
          <t>Batteriezellen</t>
        </is>
      </c>
      <c r="G13" s="2" t="n">
        <v>3760000</v>
      </c>
      <c r="H13" s="2" t="n">
        <v>4000000</v>
      </c>
      <c r="I13" s="3">
        <f>G13/H13</f>
        <v/>
      </c>
    </row>
    <row r="14">
      <c r="A14" t="n">
        <v>2022</v>
      </c>
      <c r="B14" t="inlineStr">
        <is>
          <t>Rhein-Ruhr Antriebstechnik AG</t>
        </is>
      </c>
      <c r="C14" t="inlineStr">
        <is>
          <t>Kassel</t>
        </is>
      </c>
      <c r="D14" t="inlineStr">
        <is>
          <t>Deutschland</t>
        </is>
      </c>
      <c r="E14" t="inlineStr">
        <is>
          <t>Europa</t>
        </is>
      </c>
      <c r="F14" t="inlineStr">
        <is>
          <t>Elektromotoren</t>
        </is>
      </c>
      <c r="G14" s="2" t="n">
        <v>960000</v>
      </c>
      <c r="H14" s="2" t="n">
        <v>1200000</v>
      </c>
      <c r="I14" s="3">
        <f>G14/H14</f>
        <v/>
      </c>
    </row>
    <row r="15">
      <c r="A15" t="n">
        <v>2023</v>
      </c>
      <c r="B15" t="inlineStr">
        <is>
          <t>Rhein-Ruhr Antriebstechnik AG</t>
        </is>
      </c>
      <c r="C15" t="inlineStr">
        <is>
          <t>Kassel</t>
        </is>
      </c>
      <c r="D15" t="inlineStr">
        <is>
          <t>Deutschland</t>
        </is>
      </c>
      <c r="E15" t="inlineStr">
        <is>
          <t>Europa</t>
        </is>
      </c>
      <c r="F15" t="inlineStr">
        <is>
          <t>Elektromotoren</t>
        </is>
      </c>
      <c r="G15" s="2" t="n">
        <v>1310000</v>
      </c>
      <c r="H15" s="2" t="n">
        <v>1500000</v>
      </c>
      <c r="I15" s="3">
        <f>G15/H15</f>
        <v/>
      </c>
    </row>
    <row r="16">
      <c r="A16" t="n">
        <v>2024</v>
      </c>
      <c r="B16" t="inlineStr">
        <is>
          <t>Rhein-Ruhr Antriebstechnik AG</t>
        </is>
      </c>
      <c r="C16" t="inlineStr">
        <is>
          <t>Kassel</t>
        </is>
      </c>
      <c r="D16" t="inlineStr">
        <is>
          <t>Deutschland</t>
        </is>
      </c>
      <c r="E16" t="inlineStr">
        <is>
          <t>Europa</t>
        </is>
      </c>
      <c r="F16" t="inlineStr">
        <is>
          <t>Elektromotoren</t>
        </is>
      </c>
      <c r="G16" s="2" t="n">
        <v>1490000</v>
      </c>
      <c r="H16" s="2" t="n">
        <v>1600000</v>
      </c>
      <c r="I16" s="3">
        <f>G16/H16</f>
        <v/>
      </c>
    </row>
    <row r="17">
      <c r="A17" t="n">
        <v>2025</v>
      </c>
      <c r="B17" t="inlineStr">
        <is>
          <t>Rhein-Ruhr Antriebstechnik AG</t>
        </is>
      </c>
      <c r="C17" t="inlineStr">
        <is>
          <t>Kassel</t>
        </is>
      </c>
      <c r="D17" t="inlineStr">
        <is>
          <t>Deutschland</t>
        </is>
      </c>
      <c r="E17" t="inlineStr">
        <is>
          <t>Europa</t>
        </is>
      </c>
      <c r="F17" t="inlineStr">
        <is>
          <t>Elektromotoren</t>
        </is>
      </c>
      <c r="G17" s="2" t="n">
        <v>1575000</v>
      </c>
      <c r="H17" s="2" t="n">
        <v>1800000</v>
      </c>
      <c r="I17" s="3">
        <f>G17/H17</f>
        <v/>
      </c>
    </row>
    <row r="18">
      <c r="A18" t="n">
        <v>2022</v>
      </c>
      <c r="B18" t="inlineStr">
        <is>
          <t>Rhein-Ruhr Antriebstechnik AG</t>
        </is>
      </c>
      <c r="C18" t="inlineStr">
        <is>
          <t>Debrecen</t>
        </is>
      </c>
      <c r="D18" t="inlineStr">
        <is>
          <t>Ungarn</t>
        </is>
      </c>
      <c r="E18" t="inlineStr">
        <is>
          <t>Europa</t>
        </is>
      </c>
      <c r="F18" t="inlineStr">
        <is>
          <t>Leistungselektronik</t>
        </is>
      </c>
      <c r="G18" s="2" t="n">
        <v>1400000</v>
      </c>
      <c r="H18" s="2" t="n">
        <v>1800000</v>
      </c>
      <c r="I18" s="3">
        <f>G18/H18</f>
        <v/>
      </c>
    </row>
    <row r="19">
      <c r="A19" t="n">
        <v>2023</v>
      </c>
      <c r="B19" t="inlineStr">
        <is>
          <t>Rhein-Ruhr Antriebstechnik AG</t>
        </is>
      </c>
      <c r="C19" t="inlineStr">
        <is>
          <t>Debrecen</t>
        </is>
      </c>
      <c r="D19" t="inlineStr">
        <is>
          <t>Ungarn</t>
        </is>
      </c>
      <c r="E19" t="inlineStr">
        <is>
          <t>Europa</t>
        </is>
      </c>
      <c r="F19" t="inlineStr">
        <is>
          <t>Leistungselektronik</t>
        </is>
      </c>
      <c r="G19" s="2" t="n">
        <v>1820000</v>
      </c>
      <c r="H19" s="2" t="n">
        <v>2200000</v>
      </c>
      <c r="I19" s="3">
        <f>G19/H19</f>
        <v/>
      </c>
    </row>
    <row r="20">
      <c r="A20" t="n">
        <v>2024</v>
      </c>
      <c r="B20" t="inlineStr">
        <is>
          <t>Rhein-Ruhr Antriebstechnik AG</t>
        </is>
      </c>
      <c r="C20" t="inlineStr">
        <is>
          <t>Debrecen</t>
        </is>
      </c>
      <c r="D20" t="inlineStr">
        <is>
          <t>Ungarn</t>
        </is>
      </c>
      <c r="E20" t="inlineStr">
        <is>
          <t>Europa</t>
        </is>
      </c>
      <c r="F20" t="inlineStr">
        <is>
          <t>Leistungselektronik</t>
        </is>
      </c>
      <c r="G20" s="2" t="n">
        <v>2050000</v>
      </c>
      <c r="H20" s="2" t="n">
        <v>2400000</v>
      </c>
      <c r="I20" s="3">
        <f>G20/H20</f>
        <v/>
      </c>
    </row>
    <row r="21">
      <c r="A21" t="n">
        <v>2025</v>
      </c>
      <c r="B21" t="inlineStr">
        <is>
          <t>Rhein-Ruhr Antriebstechnik AG</t>
        </is>
      </c>
      <c r="C21" t="inlineStr">
        <is>
          <t>Debrecen</t>
        </is>
      </c>
      <c r="D21" t="inlineStr">
        <is>
          <t>Ungarn</t>
        </is>
      </c>
      <c r="E21" t="inlineStr">
        <is>
          <t>Europa</t>
        </is>
      </c>
      <c r="F21" t="inlineStr">
        <is>
          <t>Leistungselektronik</t>
        </is>
      </c>
      <c r="G21" s="2" t="n">
        <v>2290000</v>
      </c>
      <c r="H21" s="2" t="n">
        <v>2500000</v>
      </c>
      <c r="I21" s="3">
        <f>G21/H21</f>
        <v/>
      </c>
    </row>
    <row r="22">
      <c r="A22" t="n">
        <v>2022</v>
      </c>
      <c r="B22" t="inlineStr">
        <is>
          <t>Great Lakes Powertrain Inc.</t>
        </is>
      </c>
      <c r="C22" t="inlineStr">
        <is>
          <t>Spring Hill</t>
        </is>
      </c>
      <c r="D22" t="inlineStr">
        <is>
          <t>USA</t>
        </is>
      </c>
      <c r="E22" t="inlineStr">
        <is>
          <t>Nordamerika</t>
        </is>
      </c>
      <c r="F22" t="inlineStr">
        <is>
          <t>Elektromotoren</t>
        </is>
      </c>
      <c r="G22" s="2" t="n">
        <v>620000</v>
      </c>
      <c r="H22" s="2" t="n">
        <v>900000</v>
      </c>
      <c r="I22" s="3">
        <f>G22/H22</f>
        <v/>
      </c>
    </row>
    <row r="23">
      <c r="A23" t="n">
        <v>2023</v>
      </c>
      <c r="B23" t="inlineStr">
        <is>
          <t>Great Lakes Powertrain Inc.</t>
        </is>
      </c>
      <c r="C23" t="inlineStr">
        <is>
          <t>Spring Hill</t>
        </is>
      </c>
      <c r="D23" t="inlineStr">
        <is>
          <t>USA</t>
        </is>
      </c>
      <c r="E23" t="inlineStr">
        <is>
          <t>Nordamerika</t>
        </is>
      </c>
      <c r="F23" t="inlineStr">
        <is>
          <t>Elektromotoren</t>
        </is>
      </c>
      <c r="G23" s="2" t="n">
        <v>840000</v>
      </c>
      <c r="H23" s="2" t="n">
        <v>1100000</v>
      </c>
      <c r="I23" s="3">
        <f>G23/H23</f>
        <v/>
      </c>
    </row>
    <row r="24">
      <c r="A24" t="n">
        <v>2024</v>
      </c>
      <c r="B24" t="inlineStr">
        <is>
          <t>Great Lakes Powertrain Inc.</t>
        </is>
      </c>
      <c r="C24" t="inlineStr">
        <is>
          <t>Spring Hill</t>
        </is>
      </c>
      <c r="D24" t="inlineStr">
        <is>
          <t>USA</t>
        </is>
      </c>
      <c r="E24" t="inlineStr">
        <is>
          <t>Nordamerika</t>
        </is>
      </c>
      <c r="F24" t="inlineStr">
        <is>
          <t>Elektromotoren</t>
        </is>
      </c>
      <c r="G24" s="2" t="n">
        <v>1010000</v>
      </c>
      <c r="H24" s="2" t="n">
        <v>1200000</v>
      </c>
      <c r="I24" s="3">
        <f>G24/H24</f>
        <v/>
      </c>
    </row>
    <row r="25">
      <c r="A25" t="n">
        <v>2025</v>
      </c>
      <c r="B25" t="inlineStr">
        <is>
          <t>Great Lakes Powertrain Inc.</t>
        </is>
      </c>
      <c r="C25" t="inlineStr">
        <is>
          <t>Spring Hill</t>
        </is>
      </c>
      <c r="D25" t="inlineStr">
        <is>
          <t>USA</t>
        </is>
      </c>
      <c r="E25" t="inlineStr">
        <is>
          <t>Nordamerika</t>
        </is>
      </c>
      <c r="F25" t="inlineStr">
        <is>
          <t>Elektromotoren</t>
        </is>
      </c>
      <c r="G25" s="2" t="n">
        <v>1095000</v>
      </c>
      <c r="H25" s="2" t="n">
        <v>1250000</v>
      </c>
      <c r="I25" s="3">
        <f>G25/H25</f>
        <v/>
      </c>
    </row>
    <row r="26">
      <c r="A26" t="n">
        <v>2022</v>
      </c>
      <c r="B26" t="inlineStr">
        <is>
          <t>Great Lakes Powertrain Inc.</t>
        </is>
      </c>
      <c r="C26" t="inlineStr">
        <is>
          <t>Monterrey</t>
        </is>
      </c>
      <c r="D26" t="inlineStr">
        <is>
          <t>Mexiko</t>
        </is>
      </c>
      <c r="E26" t="inlineStr">
        <is>
          <t>Nordamerika</t>
        </is>
      </c>
      <c r="F26" t="inlineStr">
        <is>
          <t>Ladekabel &amp; Wallboxen</t>
        </is>
      </c>
      <c r="G26" s="2" t="n">
        <v>780000</v>
      </c>
      <c r="H26" s="2" t="n">
        <v>1000000</v>
      </c>
      <c r="I26" s="3">
        <f>G26/H26</f>
        <v/>
      </c>
    </row>
    <row r="27">
      <c r="A27" t="n">
        <v>2023</v>
      </c>
      <c r="B27" t="inlineStr">
        <is>
          <t>Great Lakes Powertrain Inc.</t>
        </is>
      </c>
      <c r="C27" t="inlineStr">
        <is>
          <t>Monterrey</t>
        </is>
      </c>
      <c r="D27" t="inlineStr">
        <is>
          <t>Mexiko</t>
        </is>
      </c>
      <c r="E27" t="inlineStr">
        <is>
          <t>Nordamerika</t>
        </is>
      </c>
      <c r="F27" t="inlineStr">
        <is>
          <t>Ladekabel &amp; Wallboxen</t>
        </is>
      </c>
      <c r="G27" s="2" t="n">
        <v>1050000</v>
      </c>
      <c r="H27" s="2" t="n">
        <v>1300000</v>
      </c>
      <c r="I27" s="3">
        <f>G27/H27</f>
        <v/>
      </c>
    </row>
    <row r="28">
      <c r="A28" t="n">
        <v>2024</v>
      </c>
      <c r="B28" t="inlineStr">
        <is>
          <t>Great Lakes Powertrain Inc.</t>
        </is>
      </c>
      <c r="C28" t="inlineStr">
        <is>
          <t>Monterrey</t>
        </is>
      </c>
      <c r="D28" t="inlineStr">
        <is>
          <t>Mexiko</t>
        </is>
      </c>
      <c r="E28" t="inlineStr">
        <is>
          <t>Nordamerika</t>
        </is>
      </c>
      <c r="F28" t="inlineStr">
        <is>
          <t>Ladekabel &amp; Wallboxen</t>
        </is>
      </c>
      <c r="G28" s="2" t="n">
        <v>1240000</v>
      </c>
      <c r="H28" s="2" t="n">
        <v>1400000</v>
      </c>
      <c r="I28" s="3">
        <f>G28/H28</f>
        <v/>
      </c>
    </row>
    <row r="29">
      <c r="A29" t="n">
        <v>2025</v>
      </c>
      <c r="B29" t="inlineStr">
        <is>
          <t>Great Lakes Powertrain Inc.</t>
        </is>
      </c>
      <c r="C29" t="inlineStr">
        <is>
          <t>Monterrey</t>
        </is>
      </c>
      <c r="D29" t="inlineStr">
        <is>
          <t>Mexiko</t>
        </is>
      </c>
      <c r="E29" t="inlineStr">
        <is>
          <t>Nordamerika</t>
        </is>
      </c>
      <c r="F29" t="inlineStr">
        <is>
          <t>Ladekabel &amp; Wallboxen</t>
        </is>
      </c>
      <c r="G29" s="2" t="n">
        <v>1330000</v>
      </c>
      <c r="H29" s="2" t="n">
        <v>1450000</v>
      </c>
      <c r="I29" s="3">
        <f>G29/H29</f>
        <v/>
      </c>
    </row>
    <row r="30">
      <c r="A30" t="n">
        <v>2022</v>
      </c>
      <c r="B30" t="inlineStr">
        <is>
          <t>Kansai Thermal &amp; Drive Co.</t>
        </is>
      </c>
      <c r="C30" t="inlineStr">
        <is>
          <t>Toyota-Stadt</t>
        </is>
      </c>
      <c r="D30" t="inlineStr">
        <is>
          <t>Japan</t>
        </is>
      </c>
      <c r="E30" t="inlineStr">
        <is>
          <t>Asien</t>
        </is>
      </c>
      <c r="F30" t="inlineStr">
        <is>
          <t>Thermomanagement</t>
        </is>
      </c>
      <c r="G30" s="2" t="n">
        <v>1150000</v>
      </c>
      <c r="H30" s="2" t="n">
        <v>1400000</v>
      </c>
      <c r="I30" s="3">
        <f>G30/H30</f>
        <v/>
      </c>
    </row>
    <row r="31">
      <c r="A31" t="n">
        <v>2023</v>
      </c>
      <c r="B31" t="inlineStr">
        <is>
          <t>Kansai Thermal &amp; Drive Co.</t>
        </is>
      </c>
      <c r="C31" t="inlineStr">
        <is>
          <t>Toyota-Stadt</t>
        </is>
      </c>
      <c r="D31" t="inlineStr">
        <is>
          <t>Japan</t>
        </is>
      </c>
      <c r="E31" t="inlineStr">
        <is>
          <t>Asien</t>
        </is>
      </c>
      <c r="F31" t="inlineStr">
        <is>
          <t>Thermomanagement</t>
        </is>
      </c>
      <c r="G31" s="2" t="n">
        <v>1390000</v>
      </c>
      <c r="H31" s="2" t="n">
        <v>1600000</v>
      </c>
      <c r="I31" s="3">
        <f>G31/H31</f>
        <v/>
      </c>
    </row>
    <row r="32">
      <c r="A32" t="n">
        <v>2024</v>
      </c>
      <c r="B32" t="inlineStr">
        <is>
          <t>Kansai Thermal &amp; Drive Co.</t>
        </is>
      </c>
      <c r="C32" t="inlineStr">
        <is>
          <t>Toyota-Stadt</t>
        </is>
      </c>
      <c r="D32" t="inlineStr">
        <is>
          <t>Japan</t>
        </is>
      </c>
      <c r="E32" t="inlineStr">
        <is>
          <t>Asien</t>
        </is>
      </c>
      <c r="F32" t="inlineStr">
        <is>
          <t>Thermomanagement</t>
        </is>
      </c>
      <c r="G32" s="2" t="n">
        <v>1560000</v>
      </c>
      <c r="H32" s="2" t="n">
        <v>1700000</v>
      </c>
      <c r="I32" s="3">
        <f>G32/H32</f>
        <v/>
      </c>
    </row>
    <row r="33">
      <c r="A33" t="n">
        <v>2025</v>
      </c>
      <c r="B33" t="inlineStr">
        <is>
          <t>Kansai Thermal &amp; Drive Co.</t>
        </is>
      </c>
      <c r="C33" t="inlineStr">
        <is>
          <t>Toyota-Stadt</t>
        </is>
      </c>
      <c r="D33" t="inlineStr">
        <is>
          <t>Japan</t>
        </is>
      </c>
      <c r="E33" t="inlineStr">
        <is>
          <t>Asien</t>
        </is>
      </c>
      <c r="F33" t="inlineStr">
        <is>
          <t>Thermomanagement</t>
        </is>
      </c>
      <c r="G33" s="2" t="n">
        <v>1640000</v>
      </c>
      <c r="H33" s="2" t="n">
        <v>1750000</v>
      </c>
      <c r="I33" s="3">
        <f>G33/H33</f>
        <v/>
      </c>
    </row>
    <row r="34">
      <c r="A34" t="n">
        <v>2022</v>
      </c>
      <c r="B34" t="inlineStr">
        <is>
          <t>Atlas Mobility Parts S.A.</t>
        </is>
      </c>
      <c r="C34" t="inlineStr">
        <is>
          <t>Tanger</t>
        </is>
      </c>
      <c r="D34" t="inlineStr">
        <is>
          <t>Marokko</t>
        </is>
      </c>
      <c r="E34" t="inlineStr">
        <is>
          <t>Afrika</t>
        </is>
      </c>
      <c r="F34" t="inlineStr">
        <is>
          <t>Kabelbäume (HV)</t>
        </is>
      </c>
      <c r="G34" s="2" t="n">
        <v>540000</v>
      </c>
      <c r="H34" s="2" t="n">
        <v>800000</v>
      </c>
      <c r="I34" s="3">
        <f>G34/H34</f>
        <v/>
      </c>
    </row>
    <row r="35">
      <c r="A35" t="n">
        <v>2023</v>
      </c>
      <c r="B35" t="inlineStr">
        <is>
          <t>Atlas Mobility Parts S.A.</t>
        </is>
      </c>
      <c r="C35" t="inlineStr">
        <is>
          <t>Tanger</t>
        </is>
      </c>
      <c r="D35" t="inlineStr">
        <is>
          <t>Marokko</t>
        </is>
      </c>
      <c r="E35" t="inlineStr">
        <is>
          <t>Afrika</t>
        </is>
      </c>
      <c r="F35" t="inlineStr">
        <is>
          <t>Kabelbäume (HV)</t>
        </is>
      </c>
      <c r="G35" s="2" t="n">
        <v>710000</v>
      </c>
      <c r="H35" s="2" t="n">
        <v>900000</v>
      </c>
      <c r="I35" s="3">
        <f>G35/H35</f>
        <v/>
      </c>
    </row>
    <row r="36">
      <c r="A36" t="n">
        <v>2024</v>
      </c>
      <c r="B36" t="inlineStr">
        <is>
          <t>Atlas Mobility Parts S.A.</t>
        </is>
      </c>
      <c r="C36" t="inlineStr">
        <is>
          <t>Tanger</t>
        </is>
      </c>
      <c r="D36" t="inlineStr">
        <is>
          <t>Marokko</t>
        </is>
      </c>
      <c r="E36" t="inlineStr">
        <is>
          <t>Afrika</t>
        </is>
      </c>
      <c r="F36" t="inlineStr">
        <is>
          <t>Kabelbäume (HV)</t>
        </is>
      </c>
      <c r="G36" s="2" t="n">
        <v>830000</v>
      </c>
      <c r="H36" s="2" t="n">
        <v>950000</v>
      </c>
      <c r="I36" s="3">
        <f>G36/H36</f>
        <v/>
      </c>
    </row>
    <row r="37">
      <c r="A37" t="n">
        <v>2025</v>
      </c>
      <c r="B37" t="inlineStr">
        <is>
          <t>Atlas Mobility Parts S.A.</t>
        </is>
      </c>
      <c r="C37" t="inlineStr">
        <is>
          <t>Tanger</t>
        </is>
      </c>
      <c r="D37" t="inlineStr">
        <is>
          <t>Marokko</t>
        </is>
      </c>
      <c r="E37" t="inlineStr">
        <is>
          <t>Afrika</t>
        </is>
      </c>
      <c r="F37" t="inlineStr">
        <is>
          <t>Kabelbäume (HV)</t>
        </is>
      </c>
      <c r="G37" s="2" t="n">
        <v>915000</v>
      </c>
      <c r="H37" s="2" t="n">
        <v>1000000</v>
      </c>
      <c r="I37" s="3">
        <f>G37/H37</f>
        <v/>
      </c>
    </row>
    <row r="38">
      <c r="A38" t="n">
        <v>2022</v>
      </c>
      <c r="B38" t="inlineStr">
        <is>
          <t>Southern Cross Drivetrain Pty.</t>
        </is>
      </c>
      <c r="C38" t="inlineStr">
        <is>
          <t>Geelong</t>
        </is>
      </c>
      <c r="D38" t="inlineStr">
        <is>
          <t>Australien</t>
        </is>
      </c>
      <c r="E38" t="inlineStr">
        <is>
          <t>Ozeanien</t>
        </is>
      </c>
      <c r="F38" t="inlineStr">
        <is>
          <t>Batteriemodule</t>
        </is>
      </c>
      <c r="G38" s="2" t="n">
        <v>380000</v>
      </c>
      <c r="H38" s="2" t="n">
        <v>600000</v>
      </c>
      <c r="I38" s="3">
        <f>G38/H38</f>
        <v/>
      </c>
    </row>
    <row r="39">
      <c r="A39" t="n">
        <v>2023</v>
      </c>
      <c r="B39" t="inlineStr">
        <is>
          <t>Southern Cross Drivetrain Pty.</t>
        </is>
      </c>
      <c r="C39" t="inlineStr">
        <is>
          <t>Geelong</t>
        </is>
      </c>
      <c r="D39" t="inlineStr">
        <is>
          <t>Australien</t>
        </is>
      </c>
      <c r="E39" t="inlineStr">
        <is>
          <t>Ozeanien</t>
        </is>
      </c>
      <c r="F39" t="inlineStr">
        <is>
          <t>Batteriemodule</t>
        </is>
      </c>
      <c r="G39" s="2" t="n">
        <v>470000</v>
      </c>
      <c r="H39" s="2" t="n">
        <v>650000</v>
      </c>
      <c r="I39" s="3">
        <f>G39/H39</f>
        <v/>
      </c>
    </row>
    <row r="40">
      <c r="A40" t="n">
        <v>2024</v>
      </c>
      <c r="B40" t="inlineStr">
        <is>
          <t>Southern Cross Drivetrain Pty.</t>
        </is>
      </c>
      <c r="C40" t="inlineStr">
        <is>
          <t>Geelong</t>
        </is>
      </c>
      <c r="D40" t="inlineStr">
        <is>
          <t>Australien</t>
        </is>
      </c>
      <c r="E40" t="inlineStr">
        <is>
          <t>Ozeanien</t>
        </is>
      </c>
      <c r="F40" t="inlineStr">
        <is>
          <t>Batteriemodule</t>
        </is>
      </c>
      <c r="G40" s="2" t="n">
        <v>520000</v>
      </c>
      <c r="H40" s="2" t="n">
        <v>700000</v>
      </c>
      <c r="I40" s="3">
        <f>G40/H40</f>
        <v/>
      </c>
    </row>
    <row r="41">
      <c r="A41" t="n">
        <v>2025</v>
      </c>
      <c r="B41" t="inlineStr">
        <is>
          <t>Southern Cross Drivetrain Pty.</t>
        </is>
      </c>
      <c r="C41" t="inlineStr">
        <is>
          <t>Geelong</t>
        </is>
      </c>
      <c r="D41" t="inlineStr">
        <is>
          <t>Australien</t>
        </is>
      </c>
      <c r="E41" t="inlineStr">
        <is>
          <t>Ozeanien</t>
        </is>
      </c>
      <c r="F41" t="inlineStr">
        <is>
          <t>Batteriemodule</t>
        </is>
      </c>
      <c r="G41" s="2" t="n">
        <v>565000</v>
      </c>
      <c r="H41" s="2" t="n">
        <v>720000</v>
      </c>
      <c r="I41" s="3">
        <f>G41/H41</f>
        <v/>
      </c>
    </row>
    <row r="42">
      <c r="A42" t="n">
        <v>2022</v>
      </c>
      <c r="B42" t="inlineStr">
        <is>
          <t>Andes Lithium Processing SpA</t>
        </is>
      </c>
      <c r="C42" t="inlineStr">
        <is>
          <t>Antofagasta</t>
        </is>
      </c>
      <c r="D42" t="inlineStr">
        <is>
          <t>Chile</t>
        </is>
      </c>
      <c r="E42" t="inlineStr">
        <is>
          <t>Südamerika</t>
        </is>
      </c>
      <c r="F42" t="inlineStr">
        <is>
          <t>Kathodenmaterial</t>
        </is>
      </c>
      <c r="G42" s="2" t="n">
        <v>210000</v>
      </c>
      <c r="H42" s="2" t="n">
        <v>300000</v>
      </c>
      <c r="I42" s="3">
        <f>G42/H42</f>
        <v/>
      </c>
    </row>
    <row r="43">
      <c r="A43" t="n">
        <v>2023</v>
      </c>
      <c r="B43" t="inlineStr">
        <is>
          <t>Andes Lithium Processing SpA</t>
        </is>
      </c>
      <c r="C43" t="inlineStr">
        <is>
          <t>Antofagasta</t>
        </is>
      </c>
      <c r="D43" t="inlineStr">
        <is>
          <t>Chile</t>
        </is>
      </c>
      <c r="E43" t="inlineStr">
        <is>
          <t>Südamerika</t>
        </is>
      </c>
      <c r="F43" t="inlineStr">
        <is>
          <t>Kathodenmaterial</t>
        </is>
      </c>
      <c r="G43" s="2" t="n">
        <v>285000</v>
      </c>
      <c r="H43" s="2" t="n">
        <v>380000</v>
      </c>
      <c r="I43" s="3">
        <f>G43/H43</f>
        <v/>
      </c>
    </row>
    <row r="44">
      <c r="A44" t="n">
        <v>2024</v>
      </c>
      <c r="B44" t="inlineStr">
        <is>
          <t>Andes Lithium Processing SpA</t>
        </is>
      </c>
      <c r="C44" t="inlineStr">
        <is>
          <t>Antofagasta</t>
        </is>
      </c>
      <c r="D44" t="inlineStr">
        <is>
          <t>Chile</t>
        </is>
      </c>
      <c r="E44" t="inlineStr">
        <is>
          <t>Südamerika</t>
        </is>
      </c>
      <c r="F44" t="inlineStr">
        <is>
          <t>Kathodenmaterial</t>
        </is>
      </c>
      <c r="G44" s="2" t="n">
        <v>340000</v>
      </c>
      <c r="H44" s="2" t="n">
        <v>420000</v>
      </c>
      <c r="I44" s="3">
        <f>G44/H44</f>
        <v/>
      </c>
    </row>
    <row r="45">
      <c r="A45" t="n">
        <v>2025</v>
      </c>
      <c r="B45" t="inlineStr">
        <is>
          <t>Andes Lithium Processing SpA</t>
        </is>
      </c>
      <c r="C45" t="inlineStr">
        <is>
          <t>Antofagasta</t>
        </is>
      </c>
      <c r="D45" t="inlineStr">
        <is>
          <t>Chile</t>
        </is>
      </c>
      <c r="E45" t="inlineStr">
        <is>
          <t>Südamerika</t>
        </is>
      </c>
      <c r="F45" t="inlineStr">
        <is>
          <t>Kathodenmaterial</t>
        </is>
      </c>
      <c r="G45" s="2" t="n">
        <v>375000</v>
      </c>
      <c r="H45" s="2" t="n">
        <v>440000</v>
      </c>
      <c r="I45" s="3">
        <f>G45/H45</f>
        <v/>
      </c>
    </row>
  </sheetData>
  <autoFilter ref="A1:I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Region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Gesamt</t>
        </is>
      </c>
    </row>
    <row r="2">
      <c r="A2" t="inlineStr">
        <is>
          <t>Afrika</t>
        </is>
      </c>
      <c r="B2" s="2" t="n">
        <v>540000</v>
      </c>
      <c r="C2" s="2" t="n">
        <v>710000</v>
      </c>
      <c r="D2" s="2" t="n">
        <v>830000</v>
      </c>
      <c r="E2" s="2" t="n">
        <v>915000</v>
      </c>
      <c r="F2" s="2" t="n">
        <v>2995000</v>
      </c>
    </row>
    <row r="3">
      <c r="A3" t="inlineStr">
        <is>
          <t>Asien</t>
        </is>
      </c>
      <c r="B3" s="2" t="n">
        <v>7650000</v>
      </c>
      <c r="C3" s="2" t="n">
        <v>10170000</v>
      </c>
      <c r="D3" s="2" t="n">
        <v>12320000</v>
      </c>
      <c r="E3" s="2" t="n">
        <v>13440000</v>
      </c>
      <c r="F3" s="2" t="n">
        <v>43580000</v>
      </c>
    </row>
    <row r="4">
      <c r="A4" t="inlineStr">
        <is>
          <t>Europa</t>
        </is>
      </c>
      <c r="B4" s="2" t="n">
        <v>4210000</v>
      </c>
      <c r="C4" s="2" t="n">
        <v>5770000</v>
      </c>
      <c r="D4" s="2" t="n">
        <v>6660000</v>
      </c>
      <c r="E4" s="2" t="n">
        <v>7345000</v>
      </c>
      <c r="F4" s="2" t="n">
        <v>23985000</v>
      </c>
    </row>
    <row r="5">
      <c r="A5" t="inlineStr">
        <is>
          <t>Nordamerika</t>
        </is>
      </c>
      <c r="B5" s="2" t="n">
        <v>1400000</v>
      </c>
      <c r="C5" s="2" t="n">
        <v>1890000</v>
      </c>
      <c r="D5" s="2" t="n">
        <v>2250000</v>
      </c>
      <c r="E5" s="2" t="n">
        <v>2425000</v>
      </c>
      <c r="F5" s="2" t="n">
        <v>7965000</v>
      </c>
    </row>
    <row r="6">
      <c r="A6" t="inlineStr">
        <is>
          <t>Ozeanien</t>
        </is>
      </c>
      <c r="B6" s="2" t="n">
        <v>380000</v>
      </c>
      <c r="C6" s="2" t="n">
        <v>470000</v>
      </c>
      <c r="D6" s="2" t="n">
        <v>520000</v>
      </c>
      <c r="E6" s="2" t="n">
        <v>565000</v>
      </c>
      <c r="F6" s="2" t="n">
        <v>1935000</v>
      </c>
    </row>
    <row r="7">
      <c r="A7" t="inlineStr">
        <is>
          <t>Südamerika</t>
        </is>
      </c>
      <c r="B7" s="2" t="n">
        <v>210000</v>
      </c>
      <c r="C7" s="2" t="n">
        <v>285000</v>
      </c>
      <c r="D7" s="2" t="n">
        <v>340000</v>
      </c>
      <c r="E7" s="2" t="n">
        <v>375000</v>
      </c>
      <c r="F7" s="2" t="n">
        <v>1210000</v>
      </c>
    </row>
    <row r="8">
      <c r="A8" s="4" t="inlineStr">
        <is>
          <t>Gesamt</t>
        </is>
      </c>
      <c r="B8" s="5" t="n">
        <v>14390000</v>
      </c>
      <c r="C8" s="5" t="n">
        <v>19295000</v>
      </c>
      <c r="D8" s="5" t="n">
        <v>22920000</v>
      </c>
      <c r="E8" s="5" t="n">
        <v>25065000</v>
      </c>
      <c r="F8" s="5" t="n">
        <v>81670000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2026-10-15T08:44:15Z</dcterms:created>
  <dcterms:modified xsi:type="dcterms:W3CDTF">2026-10-15T08:44:15Z</dcterms:modified>
</cp:coreProperties>
</file>